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oría M1–M6" sheetId="1" state="visible" r:id="rId3"/>
    <sheet name="Conteos Base M1 (Anexo A)" sheetId="2" state="visible" r:id="rId4"/>
    <sheet name="Aritmética M1–M6" sheetId="3" state="visible" r:id="rId5"/>
    <sheet name="M5 Modificabilida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<sst xmlns="http://schemas.openxmlformats.org/spreadsheetml/2006/main" count="418" uniqueCount="232">
  <si>
    <t xml:space="preserve">AUDITORÍA DE CALIDAD DEL ERS — CarniCore v4.0</t>
  </si>
  <si>
    <t xml:space="preserve">PE5 — Práctica Experimental Unidad V  |  ISO/IEC 25010:2023 · ISO/IEC/IEEE 29148:2018  |  Universo: 40 requisitos base (25 RF + 15 RNF)  |  Agosto 2026</t>
  </si>
  <si>
    <t xml:space="preserve">Métrica</t>
  </si>
  <si>
    <t xml:space="preserve">Nombre</t>
  </si>
  <si>
    <t xml:space="preserve">Valor Antes
(v3.0)</t>
  </si>
  <si>
    <t xml:space="preserve">Valor Después
(v4.0)</t>
  </si>
  <si>
    <t xml:space="preserve">Valor de
Referencia</t>
  </si>
  <si>
    <t xml:space="preserve">Referencia Normativa</t>
  </si>
  <si>
    <t xml:space="preserve">Cumple</t>
  </si>
  <si>
    <t xml:space="preserve">Acción de Mejora</t>
  </si>
  <si>
    <t xml:space="preserve">M1a</t>
  </si>
  <si>
    <t xml:space="preserve">Completitud — atributos
(ID, prioridad, fuente, CA-BDD)</t>
  </si>
  <si>
    <t xml:space="preserve">95,0 %</t>
  </si>
  <si>
    <t xml:space="preserve">97,5 %</t>
  </si>
  <si>
    <t xml:space="preserve">≥ 95 %</t>
  </si>
  <si>
    <t xml:space="preserve">ISO/IEC/IEEE 29148:2018</t>
  </si>
  <si>
    <t xml:space="preserve">Sí</t>
  </si>
  <si>
    <t xml:space="preserve">Corrección RNF-05 (umbral cuantificable).
RF-18 (Could) sin CA-BDD — excepción documentada.</t>
  </si>
  <si>
    <t xml:space="preserve">M1b</t>
  </si>
  <si>
    <t xml:space="preserve">Completitud — CU especificados
vs. CU identificados</t>
  </si>
  <si>
    <t xml:space="preserve">100,0 %</t>
  </si>
  <si>
    <t xml:space="preserve">100 %</t>
  </si>
  <si>
    <t xml:space="preserve">Sin acción requerida. 12/12 CU especificados.</t>
  </si>
  <si>
    <t xml:space="preserve">M1c</t>
  </si>
  <si>
    <t xml:space="preserve">Completitud — actores
con ≥ 1 RF</t>
  </si>
  <si>
    <t xml:space="preserve">Sin acción requerida. 5/5 actores cubiertos.</t>
  </si>
  <si>
    <t xml:space="preserve">M2</t>
  </si>
  <si>
    <t xml:space="preserve">Consistencia
(1 – conflictos / pares)</t>
  </si>
  <si>
    <t xml:space="preserve">0,9987</t>
  </si>
  <si>
    <t xml:space="preserve">1,0000</t>
  </si>
  <si>
    <t xml:space="preserve">≥ 0,98 y
cero conflictos</t>
  </si>
  <si>
    <t xml:space="preserve">ISO/IEC 25010:2023</t>
  </si>
  <si>
    <t xml:space="preserve">Corrección D-03 PE5: término "canal" con dos
significados resuelto en el glosario.</t>
  </si>
  <si>
    <t xml:space="preserve">M3</t>
  </si>
  <si>
    <t xml:space="preserve">Verificabilidad
(req. con criterio BDD comprobable)</t>
  </si>
  <si>
    <t xml:space="preserve">92,5 %</t>
  </si>
  <si>
    <t xml:space="preserve">≥ 90 %
(100 % en RF críticos)</t>
  </si>
  <si>
    <t xml:space="preserve">Corrección D-01 PE5 (RNF-05 reescrito).
Formalización criterio BDD de RF-25.
RF-18 (Could) excluido con justificación.</t>
  </si>
  <si>
    <t xml:space="preserve">M4ade</t>
  </si>
  <si>
    <t xml:space="preserve">Trazabilidad hacia adelante
(RF → CU → Clase → Estado → CP)</t>
  </si>
  <si>
    <t xml:space="preserve">92,0 %</t>
  </si>
  <si>
    <t xml:space="preserve">96,0 %</t>
  </si>
  <si>
    <t xml:space="preserve">≥ 90 %</t>
  </si>
  <si>
    <t xml:space="preserve">Corrección D-02 PE5: RF-17 enlazado a CU-01.
RF-18 (Could) justificado sin cadena adelante.
Universo: 25 RF originales (comparabilidad v3.0).</t>
  </si>
  <si>
    <t xml:space="preserve">M4atr</t>
  </si>
  <si>
    <t xml:space="preserve">Trazabilidad hacia atrás
(RF → Fuente / Stakeholder)</t>
  </si>
  <si>
    <t xml:space="preserve">Sin acción requerida. 25/25 RF con fuente identificada.</t>
  </si>
  <si>
    <t xml:space="preserve">M5</t>
  </si>
  <si>
    <t xml:space="preserve">Modificabilidad
(acoplamiento medio — muestra 7 RF)</t>
  </si>
  <si>
    <t xml:space="preserve">2,71 req.</t>
  </si>
  <si>
    <t xml:space="preserve">≤ 3,0 req.
afectados</t>
  </si>
  <si>
    <t xml:space="preserve">Sin acción requerida. Nodo mayor: RF-07 (6 RF
afectados). M5 estable entre v3.0 y v4.0.</t>
  </si>
  <si>
    <t xml:space="preserve">M6</t>
  </si>
  <si>
    <t xml:space="preserve">Corrección
(defectos residuales / req.)</t>
  </si>
  <si>
    <t xml:space="preserve">0,10 def/req</t>
  </si>
  <si>
    <t xml:space="preserve">0,00 def/req</t>
  </si>
  <si>
    <t xml:space="preserve">≤ 0,05
def/req</t>
  </si>
  <si>
    <t xml:space="preserve">Corrección D-01–D-04 PE5 sobre ERS v3.0.
Re-inspección PE5 sobre v4.0: 0 defectos
residuales detectados.</t>
  </si>
  <si>
    <t xml:space="preserve">RESULTADO GLOBAL</t>
  </si>
  <si>
    <t xml:space="preserve">6 / 6 métricas CUMPLEN el valor de referencia sobre los 40 requisitos base del ERS v4.0</t>
  </si>
  <si>
    <t xml:space="preserve">INSTRUMENTO DE AUDITORÍA — CONTEOS BASE PARA M1 (COMPLETITUD)  |  ERS v4.0 CarniCore</t>
  </si>
  <si>
    <t xml:space="preserve">Universo de auditoría: 40 requisitos base (25 RF + 15 RNF). RF-26, RF-27 y los 18 req. de IA quedan fuera del universo auditado por M1–M6 para preservar comparabilidad con v3.0.</t>
  </si>
  <si>
    <t xml:space="preserve">Req.</t>
  </si>
  <si>
    <t xml:space="preserve">ID</t>
  </si>
  <si>
    <t xml:space="preserve">Prioridad</t>
  </si>
  <si>
    <t xml:space="preserve">Fuente (EV)</t>
  </si>
  <si>
    <t xml:space="preserve">CA-BDD</t>
  </si>
  <si>
    <t xml:space="preserve">4 Atrib.
OK</t>
  </si>
  <si>
    <t xml:space="preserve">Nota</t>
  </si>
  <si>
    <t xml:space="preserve">RF-01</t>
  </si>
  <si>
    <t xml:space="preserve">Must</t>
  </si>
  <si>
    <t xml:space="preserve">EV-01</t>
  </si>
  <si>
    <t xml:space="preserve">CA-01</t>
  </si>
  <si>
    <t xml:space="preserve">—</t>
  </si>
  <si>
    <t xml:space="preserve">RF-02</t>
  </si>
  <si>
    <t xml:space="preserve">EV-02</t>
  </si>
  <si>
    <t xml:space="preserve">CA-02</t>
  </si>
  <si>
    <t xml:space="preserve">RF-03</t>
  </si>
  <si>
    <t xml:space="preserve">EV-03</t>
  </si>
  <si>
    <t xml:space="preserve">CA-03</t>
  </si>
  <si>
    <t xml:space="preserve">RF-04</t>
  </si>
  <si>
    <t xml:space="preserve">EV-04</t>
  </si>
  <si>
    <t xml:space="preserve">CA-04</t>
  </si>
  <si>
    <t xml:space="preserve">RF-05</t>
  </si>
  <si>
    <t xml:space="preserve">Should</t>
  </si>
  <si>
    <t xml:space="preserve">CA-05</t>
  </si>
  <si>
    <t xml:space="preserve">RF-06</t>
  </si>
  <si>
    <t xml:space="preserve">EV-05</t>
  </si>
  <si>
    <t xml:space="preserve">CA-06</t>
  </si>
  <si>
    <t xml:space="preserve">RF-07</t>
  </si>
  <si>
    <t xml:space="preserve">EV-06</t>
  </si>
  <si>
    <t xml:space="preserve">CA-07</t>
  </si>
  <si>
    <t xml:space="preserve">RF-08</t>
  </si>
  <si>
    <t xml:space="preserve">CA-08</t>
  </si>
  <si>
    <t xml:space="preserve">Umbral ≤1 día corregido (D-04 Fagan)</t>
  </si>
  <si>
    <t xml:space="preserve">RF-09</t>
  </si>
  <si>
    <t xml:space="preserve">EV-07</t>
  </si>
  <si>
    <t xml:space="preserve">CA-09</t>
  </si>
  <si>
    <t xml:space="preserve">Dependencia RF-20 añadida (D-05 Fagan)</t>
  </si>
  <si>
    <t xml:space="preserve">RF-10</t>
  </si>
  <si>
    <t xml:space="preserve">EV-08</t>
  </si>
  <si>
    <t xml:space="preserve">CA-10</t>
  </si>
  <si>
    <t xml:space="preserve">RF-11</t>
  </si>
  <si>
    <t xml:space="preserve">CA-11</t>
  </si>
  <si>
    <t xml:space="preserve">Comportamiento cadena incompleta (D-08 Fagan)</t>
  </si>
  <si>
    <t xml:space="preserve">RF-12</t>
  </si>
  <si>
    <t xml:space="preserve">EV-09</t>
  </si>
  <si>
    <t xml:space="preserve">CA-12</t>
  </si>
  <si>
    <t xml:space="preserve">BDD presente; sin HU en MVP</t>
  </si>
  <si>
    <t xml:space="preserve">RF-13</t>
  </si>
  <si>
    <t xml:space="preserve">CA-13</t>
  </si>
  <si>
    <t xml:space="preserve">Derivó en RF-27 con filtro proveedor (D-13 Fagan)</t>
  </si>
  <si>
    <t xml:space="preserve">RF-14</t>
  </si>
  <si>
    <t xml:space="preserve">CA-14</t>
  </si>
  <si>
    <t xml:space="preserve">RF-15</t>
  </si>
  <si>
    <t xml:space="preserve">CA-15</t>
  </si>
  <si>
    <t xml:space="preserve">RF-16</t>
  </si>
  <si>
    <t xml:space="preserve">CA-16</t>
  </si>
  <si>
    <t xml:space="preserve">Excluye offline pendiente (D-11 Fagan)</t>
  </si>
  <si>
    <t xml:space="preserve">RF-17</t>
  </si>
  <si>
    <t xml:space="preserve">EV-10</t>
  </si>
  <si>
    <t xml:space="preserve">CA-17</t>
  </si>
  <si>
    <t xml:space="preserve">Enlazado a CU-01 flujo alternativo (D-02 PE5)</t>
  </si>
  <si>
    <t xml:space="preserve">RF-18</t>
  </si>
  <si>
    <t xml:space="preserve">Could</t>
  </si>
  <si>
    <t xml:space="preserve">EV-11</t>
  </si>
  <si>
    <t xml:space="preserve">No</t>
  </si>
  <si>
    <t xml:space="preserve">Sin CA-BDD formal; prioridad Could — excepción documentada</t>
  </si>
  <si>
    <t xml:space="preserve">RF-19</t>
  </si>
  <si>
    <t xml:space="preserve">CA-19</t>
  </si>
  <si>
    <t xml:space="preserve">Regla de solape añadida (D-09 Fagan)</t>
  </si>
  <si>
    <t xml:space="preserve">RF-20</t>
  </si>
  <si>
    <t xml:space="preserve">EV-12</t>
  </si>
  <si>
    <t xml:space="preserve">CA-20</t>
  </si>
  <si>
    <t xml:space="preserve">RF-21</t>
  </si>
  <si>
    <t xml:space="preserve">EV-13</t>
  </si>
  <si>
    <t xml:space="preserve">CA-21</t>
  </si>
  <si>
    <t xml:space="preserve">RF-22</t>
  </si>
  <si>
    <t xml:space="preserve">EV-14</t>
  </si>
  <si>
    <t xml:space="preserve">CA-22</t>
  </si>
  <si>
    <t xml:space="preserve">Conserva contador vida útil (D-06 Fagan)</t>
  </si>
  <si>
    <t xml:space="preserve">RF-23</t>
  </si>
  <si>
    <t xml:space="preserve">EV-15</t>
  </si>
  <si>
    <t xml:space="preserve">CA-23</t>
  </si>
  <si>
    <t xml:space="preserve">Incluye firma veterinaria (RFC-03 CCB)</t>
  </si>
  <si>
    <t xml:space="preserve">RF-24</t>
  </si>
  <si>
    <t xml:space="preserve">CA-24</t>
  </si>
  <si>
    <t xml:space="preserve">CP-24 asignado en v4.0</t>
  </si>
  <si>
    <t xml:space="preserve">RF-25</t>
  </si>
  <si>
    <t xml:space="preserve">CA-25</t>
  </si>
  <si>
    <t xml:space="preserve">BDD y CP-25 formalizados en v4.0</t>
  </si>
  <si>
    <t xml:space="preserve">RNF-01–15</t>
  </si>
  <si>
    <t xml:space="preserve">(ver ERS)</t>
  </si>
  <si>
    <t xml:space="preserve">Var.</t>
  </si>
  <si>
    <t xml:space="preserve">CA-Rxx</t>
  </si>
  <si>
    <t xml:space="preserve">RNF-02/07/12/14 corregidos Fagan; RNF-05 corregido D-01 PE5</t>
  </si>
  <si>
    <t xml:space="preserve">TOTAL — 40 requisitos base auditados</t>
  </si>
  <si>
    <t xml:space="preserve">39 / 40</t>
  </si>
  <si>
    <t xml:space="preserve">RF-18 (Could) sin CA-BDD — excepción justificada y documentada</t>
  </si>
  <si>
    <t xml:space="preserve">ARITMÉTICA COMPLETA DE LAS SEIS MÉTRICAS — ERS v4.0 CarniCore</t>
  </si>
  <si>
    <t xml:space="preserve">Universo: 40 requisitos base · 780 pares analizados (C(40,2)) · muestra M5: 7 RF representativos</t>
  </si>
  <si>
    <t xml:space="preserve">Fórmula / Descripción</t>
  </si>
  <si>
    <t xml:space="preserve">Numerador</t>
  </si>
  <si>
    <t xml:space="preserve">Denominador</t>
  </si>
  <si>
    <t xml:space="preserve">Resultado</t>
  </si>
  <si>
    <t xml:space="preserve">Ref.</t>
  </si>
  <si>
    <t xml:space="preserve">M1a
Antes</t>
  </si>
  <si>
    <t xml:space="preserve"># req. con 4 atrib. OK / # req. totales × 100</t>
  </si>
  <si>
    <t xml:space="preserve">38</t>
  </si>
  <si>
    <t xml:space="preserve">40</t>
  </si>
  <si>
    <t xml:space="preserve">M1a
Después</t>
  </si>
  <si>
    <t xml:space="preserve">39</t>
  </si>
  <si>
    <t xml:space="preserve">Sí ✓</t>
  </si>
  <si>
    <t xml:space="preserve"># CU especificados / # CU identificados × 100</t>
  </si>
  <si>
    <t xml:space="preserve">12</t>
  </si>
  <si>
    <t xml:space="preserve"># actores con ≥1 RF / # actores × 100</t>
  </si>
  <si>
    <t xml:space="preserve">5</t>
  </si>
  <si>
    <t xml:space="preserve">M2
Antes</t>
  </si>
  <si>
    <t xml:space="preserve">1 – (# conflictos / # pares analizados)</t>
  </si>
  <si>
    <t xml:space="preserve">1 conflicto</t>
  </si>
  <si>
    <t xml:space="preserve">780 pares</t>
  </si>
  <si>
    <t xml:space="preserve">≥ 0,98</t>
  </si>
  <si>
    <t xml:space="preserve">M2
Después</t>
  </si>
  <si>
    <t xml:space="preserve">0 conflictos</t>
  </si>
  <si>
    <t xml:space="preserve">M3
Antes</t>
  </si>
  <si>
    <t xml:space="preserve"># req. con BDD comprobable / # req. totales × 100</t>
  </si>
  <si>
    <t xml:space="preserve">37</t>
  </si>
  <si>
    <t xml:space="preserve">M3
Después</t>
  </si>
  <si>
    <t xml:space="preserve">M4ade
Antes</t>
  </si>
  <si>
    <t xml:space="preserve"># RF con cadena adelante completa / # RF × 100</t>
  </si>
  <si>
    <t xml:space="preserve">23</t>
  </si>
  <si>
    <t xml:space="preserve">25 RF orig.</t>
  </si>
  <si>
    <t xml:space="preserve">M4ade
Después</t>
  </si>
  <si>
    <t xml:space="preserve">24</t>
  </si>
  <si>
    <t xml:space="preserve"># RF con fuente identificada / # RF × 100</t>
  </si>
  <si>
    <t xml:space="preserve">25</t>
  </si>
  <si>
    <t xml:space="preserve">Σ (RF afectados al modificar rᵢ) / n  —  muestra n=7 RF</t>
  </si>
  <si>
    <t xml:space="preserve">19 acopl.</t>
  </si>
  <si>
    <t xml:space="preserve">7 RF</t>
  </si>
  <si>
    <t xml:space="preserve">≤ 3,0</t>
  </si>
  <si>
    <t xml:space="preserve">M6
Antes</t>
  </si>
  <si>
    <t xml:space="preserve"># defectos residuales / # req. totales</t>
  </si>
  <si>
    <t xml:space="preserve">4 defectos</t>
  </si>
  <si>
    <t xml:space="preserve">≤ 0,05</t>
  </si>
  <si>
    <t xml:space="preserve">No ✗</t>
  </si>
  <si>
    <t xml:space="preserve">M6
Después</t>
  </si>
  <si>
    <t xml:space="preserve">0 defectos</t>
  </si>
  <si>
    <t xml:space="preserve">M5 — MODIFICABILIDAD: Detalle de Acoplamiento por RF  |  ERS v4.0 CarniCore</t>
  </si>
  <si>
    <t xml:space="preserve">Muestra de 7 RF representativos · M5 = Σ(afectados) / n = 19 / 7 = 2,71 req. afectados en promedio (umbral ≤ 3,0)</t>
  </si>
  <si>
    <t xml:space="preserve">RF</t>
  </si>
  <si>
    <t xml:space="preserve">Razón de selección</t>
  </si>
  <si>
    <t xml:space="preserve">RF afectados al modificar</t>
  </si>
  <si>
    <t xml:space="preserve">N.° afectados</t>
  </si>
  <si>
    <t xml:space="preserve">Nodo de mayor dependencia (ingreso de animales)</t>
  </si>
  <si>
    <t xml:space="preserve">RF-04, RF-06, RF-07, RF-11</t>
  </si>
  <si>
    <t xml:space="preserve">4</t>
  </si>
  <si>
    <t xml:space="preserve">Hub de inventario (mayor acoplamiento de la muestra)</t>
  </si>
  <si>
    <t xml:space="preserve">RF-08, RF-09, RF-10, RF-12, RF-16, RF-24</t>
  </si>
  <si>
    <t xml:space="preserve">6</t>
  </si>
  <si>
    <t xml:space="preserve">Ventas — salida principal del sistema</t>
  </si>
  <si>
    <t xml:space="preserve">RF-13, RF-14, RF-22</t>
  </si>
  <si>
    <t xml:space="preserve">3</t>
  </si>
  <si>
    <t xml:space="preserve">Pesaje — cálculo central</t>
  </si>
  <si>
    <t xml:space="preserve">RF-05, RF-19</t>
  </si>
  <si>
    <t xml:space="preserve">2</t>
  </si>
  <si>
    <t xml:space="preserve">Trazabilidad — consulta principal</t>
  </si>
  <si>
    <t xml:space="preserve">RF-23, RF-25</t>
  </si>
  <si>
    <t xml:space="preserve">Gestión de usuarios y control de acceso</t>
  </si>
  <si>
    <t xml:space="preserve">1</t>
  </si>
  <si>
    <t xml:space="preserve">Incidentes de energía — requisito operativo crítico</t>
  </si>
  <si>
    <t xml:space="preserve">TOTAL  →  M5 = 19 / 7 = 2,71 req. afectados en promedio</t>
  </si>
  <si>
    <t xml:space="preserve">19 req. totales afectados  |  Cumple ≤ 3,0  ✓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</si>
</sst>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0046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9"/>
      <color rgb="FF4A4A4A"/>
      <name val="Arial"/>
      <family val="0"/>
      <charset val="1"/>
    </font>
    <font>
      <b val="true"/>
      <sz val="9"/>
      <color rgb="FF1A7A3C"/>
      <name val="Arial"/>
      <family val="0"/>
      <charset val="1"/>
    </font>
    <font>
      <i val="true"/>
      <sz val="8.5"/>
      <color rgb="FF00468C"/>
      <name val="Arial"/>
      <family val="0"/>
      <charset val="1"/>
    </font>
    <font>
      <sz val="8.5"/>
      <color rgb="FF4A4A4A"/>
      <name val="Arial"/>
      <family val="0"/>
      <charset val="1"/>
    </font>
    <font>
      <b val="true"/>
      <sz val="9"/>
      <color rgb="FFE65C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8.5"/>
      <color rgb="FF1A7A3C"/>
      <name val="Arial"/>
      <family val="0"/>
      <charset val="1"/>
    </font>
    <font>
      <b val="true"/>
      <sz val="8.5"/>
      <color rgb="FF856404"/>
      <name val="Arial"/>
      <family val="0"/>
      <charset val="1"/>
    </font>
    <font>
      <b val="true"/>
      <sz val="8.5"/>
      <color rgb="FF721C24"/>
      <name val="Arial"/>
      <family val="0"/>
      <charset val="1"/>
    </font>
    <font>
      <b val="true"/>
      <sz val="9"/>
      <color rgb="FFB71C1C"/>
      <name val="Arial"/>
      <family val="0"/>
      <charset val="1"/>
    </font>
    <font>
      <sz val="8.5"/>
      <color rgb="FF1A7A3C"/>
      <name val="Arial"/>
      <family val="0"/>
      <charset val="1"/>
    </font>
    <font>
      <b val="true"/>
      <sz val="9"/>
      <color rgb="FF00468C"/>
      <name val="Arial"/>
      <family val="0"/>
      <charset val="1"/>
    </font>
    <font>
      <i val="true"/>
      <sz val="9"/>
      <color rgb="FF00468C"/>
      <name val="Arial"/>
      <family val="0"/>
      <charset val="1"/>
    </font>
    <font>
      <b val="true"/>
      <sz val="10"/>
      <color rgb="FF1A7A3C"/>
      <name val="Arial"/>
      <family val="0"/>
      <charset val="1"/>
    </font>
    <font>
      <b val="true"/>
      <sz val="10"/>
      <color rgb="FFB71C1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468C"/>
        <bgColor rgb="FF333399"/>
      </patternFill>
    </fill>
    <fill>
      <patternFill patternType="solid">
        <fgColor rgb="FFE8F0F8"/>
        <bgColor rgb="FFE2F0E8"/>
      </patternFill>
    </fill>
    <fill>
      <patternFill patternType="solid">
        <fgColor rgb="FF1F6EB5"/>
        <bgColor rgb="FF3366FF"/>
      </patternFill>
    </fill>
    <fill>
      <patternFill patternType="solid">
        <fgColor rgb="FFE2F0E8"/>
        <bgColor rgb="FFE8F0F8"/>
      </patternFill>
    </fill>
    <fill>
      <patternFill patternType="solid">
        <fgColor rgb="FFD4EDDA"/>
        <bgColor rgb="FFE2F0E8"/>
      </patternFill>
    </fill>
    <fill>
      <patternFill patternType="solid">
        <fgColor rgb="FFFFFFFF"/>
        <bgColor rgb="FFE8F0F8"/>
      </patternFill>
    </fill>
    <fill>
      <patternFill patternType="solid">
        <fgColor rgb="FFFCE8E8"/>
        <bgColor rgb="FFFFF3CD"/>
      </patternFill>
    </fill>
    <fill>
      <patternFill patternType="solid">
        <fgColor rgb="FFFFF3CD"/>
        <bgColor rgb="FFFCE8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1A7A3C"/>
      <rgbColor rgb="FF000080"/>
      <rgbColor rgb="FF856404"/>
      <rgbColor rgb="FF800080"/>
      <rgbColor rgb="FF008080"/>
      <rgbColor rgb="FFBBBBBB"/>
      <rgbColor rgb="FF808080"/>
      <rgbColor rgb="FF9999FF"/>
      <rgbColor rgb="FF993366"/>
      <rgbColor rgb="FFFFF3CD"/>
      <rgbColor rgb="FFE2F0E8"/>
      <rgbColor rgb="FF660066"/>
      <rgbColor rgb="FFFF8080"/>
      <rgbColor rgb="FF1F6E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8"/>
      <rgbColor rgb="FFD4EDDA"/>
      <rgbColor rgb="FFFC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C00"/>
      <rgbColor rgb="FF666699"/>
      <rgbColor rgb="FF969696"/>
      <rgbColor rgb="FF00468C"/>
      <rgbColor rgb="FF339966"/>
      <rgbColor rgb="FF003300"/>
      <rgbColor rgb="FF333300"/>
      <rgbColor rgb="FFB71C1C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9.5" hidden="false" customHeight="true" outlineLevel="0" collapsed="false">
      <c r="A5" s="4" t="s">
        <v>10</v>
      </c>
      <c r="B5" s="5" t="s">
        <v>11</v>
      </c>
      <c r="C5" s="6" t="s">
        <v>12</v>
      </c>
      <c r="D5" s="7" t="s">
        <v>13</v>
      </c>
      <c r="E5" s="8" t="s">
        <v>14</v>
      </c>
      <c r="F5" s="9" t="s">
        <v>15</v>
      </c>
      <c r="G5" s="10" t="s">
        <v>16</v>
      </c>
      <c r="H5" s="11" t="s">
        <v>17</v>
      </c>
    </row>
    <row r="6" customFormat="false" ht="49.5" hidden="false" customHeight="true" outlineLevel="0" collapsed="false">
      <c r="A6" s="4" t="s">
        <v>18</v>
      </c>
      <c r="B6" s="12" t="s">
        <v>19</v>
      </c>
      <c r="C6" s="13" t="s">
        <v>20</v>
      </c>
      <c r="D6" s="7" t="s">
        <v>20</v>
      </c>
      <c r="E6" s="14" t="s">
        <v>21</v>
      </c>
      <c r="F6" s="15" t="s">
        <v>15</v>
      </c>
      <c r="G6" s="10" t="s">
        <v>16</v>
      </c>
      <c r="H6" s="16" t="s">
        <v>22</v>
      </c>
    </row>
    <row r="7" customFormat="false" ht="49.5" hidden="false" customHeight="true" outlineLevel="0" collapsed="false">
      <c r="A7" s="4" t="s">
        <v>23</v>
      </c>
      <c r="B7" s="5" t="s">
        <v>24</v>
      </c>
      <c r="C7" s="6" t="s">
        <v>20</v>
      </c>
      <c r="D7" s="7" t="s">
        <v>20</v>
      </c>
      <c r="E7" s="8" t="s">
        <v>21</v>
      </c>
      <c r="F7" s="9" t="s">
        <v>15</v>
      </c>
      <c r="G7" s="10" t="s">
        <v>16</v>
      </c>
      <c r="H7" s="11" t="s">
        <v>25</v>
      </c>
    </row>
    <row r="8" customFormat="false" ht="49.5" hidden="false" customHeight="true" outlineLevel="0" collapsed="false">
      <c r="A8" s="4" t="s">
        <v>26</v>
      </c>
      <c r="B8" s="12" t="s">
        <v>27</v>
      </c>
      <c r="C8" s="13" t="s">
        <v>28</v>
      </c>
      <c r="D8" s="7" t="s">
        <v>29</v>
      </c>
      <c r="E8" s="14" t="s">
        <v>30</v>
      </c>
      <c r="F8" s="15" t="s">
        <v>31</v>
      </c>
      <c r="G8" s="10" t="s">
        <v>16</v>
      </c>
      <c r="H8" s="16" t="s">
        <v>32</v>
      </c>
    </row>
    <row r="9" customFormat="false" ht="49.5" hidden="false" customHeight="true" outlineLevel="0" collapsed="false">
      <c r="A9" s="4" t="s">
        <v>33</v>
      </c>
      <c r="B9" s="5" t="s">
        <v>34</v>
      </c>
      <c r="C9" s="17" t="s">
        <v>35</v>
      </c>
      <c r="D9" s="7" t="s">
        <v>13</v>
      </c>
      <c r="E9" s="8" t="s">
        <v>36</v>
      </c>
      <c r="F9" s="9" t="s">
        <v>15</v>
      </c>
      <c r="G9" s="10" t="s">
        <v>16</v>
      </c>
      <c r="H9" s="11" t="s">
        <v>37</v>
      </c>
    </row>
    <row r="10" customFormat="false" ht="49.5" hidden="false" customHeight="true" outlineLevel="0" collapsed="false">
      <c r="A10" s="4" t="s">
        <v>38</v>
      </c>
      <c r="B10" s="12" t="s">
        <v>39</v>
      </c>
      <c r="C10" s="17" t="s">
        <v>40</v>
      </c>
      <c r="D10" s="7" t="s">
        <v>41</v>
      </c>
      <c r="E10" s="14" t="s">
        <v>42</v>
      </c>
      <c r="F10" s="15" t="s">
        <v>15</v>
      </c>
      <c r="G10" s="10" t="s">
        <v>16</v>
      </c>
      <c r="H10" s="16" t="s">
        <v>43</v>
      </c>
    </row>
    <row r="11" customFormat="false" ht="49.5" hidden="false" customHeight="true" outlineLevel="0" collapsed="false">
      <c r="A11" s="4" t="s">
        <v>44</v>
      </c>
      <c r="B11" s="5" t="s">
        <v>45</v>
      </c>
      <c r="C11" s="6" t="s">
        <v>20</v>
      </c>
      <c r="D11" s="7" t="s">
        <v>20</v>
      </c>
      <c r="E11" s="8" t="s">
        <v>21</v>
      </c>
      <c r="F11" s="9" t="s">
        <v>15</v>
      </c>
      <c r="G11" s="10" t="s">
        <v>16</v>
      </c>
      <c r="H11" s="11" t="s">
        <v>46</v>
      </c>
    </row>
    <row r="12" customFormat="false" ht="49.5" hidden="false" customHeight="true" outlineLevel="0" collapsed="false">
      <c r="A12" s="4" t="s">
        <v>47</v>
      </c>
      <c r="B12" s="12" t="s">
        <v>48</v>
      </c>
      <c r="C12" s="13" t="s">
        <v>49</v>
      </c>
      <c r="D12" s="7" t="s">
        <v>49</v>
      </c>
      <c r="E12" s="14" t="s">
        <v>50</v>
      </c>
      <c r="F12" s="15" t="s">
        <v>31</v>
      </c>
      <c r="G12" s="10" t="s">
        <v>16</v>
      </c>
      <c r="H12" s="16" t="s">
        <v>51</v>
      </c>
    </row>
    <row r="13" customFormat="false" ht="49.5" hidden="false" customHeight="true" outlineLevel="0" collapsed="false">
      <c r="A13" s="4" t="s">
        <v>52</v>
      </c>
      <c r="B13" s="5" t="s">
        <v>53</v>
      </c>
      <c r="C13" s="17" t="s">
        <v>54</v>
      </c>
      <c r="D13" s="7" t="s">
        <v>55</v>
      </c>
      <c r="E13" s="8" t="s">
        <v>56</v>
      </c>
      <c r="F13" s="9" t="s">
        <v>31</v>
      </c>
      <c r="G13" s="10" t="s">
        <v>16</v>
      </c>
      <c r="H13" s="11" t="s">
        <v>57</v>
      </c>
    </row>
    <row r="14" customFormat="false" ht="21.75" hidden="false" customHeight="true" outlineLevel="0" collapsed="false">
      <c r="A14" s="18" t="s">
        <v>58</v>
      </c>
      <c r="B14" s="18"/>
      <c r="C14" s="18"/>
      <c r="D14" s="18"/>
      <c r="E14" s="18"/>
      <c r="F14" s="18"/>
      <c r="G14" s="19" t="s">
        <v>59</v>
      </c>
      <c r="H14" s="19"/>
    </row>
  </sheetData>
  <mergeCells count="4">
    <mergeCell ref="A1:H1"/>
    <mergeCell ref="A2:H2"/>
    <mergeCell ref="A14:F14"/>
    <mergeCell ref="G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34"/>
  </cols>
  <sheetData>
    <row r="1" customFormat="false" ht="24" hidden="false" customHeight="true" outlineLevel="0" collapsed="false">
      <c r="A1" s="20" t="s">
        <v>60</v>
      </c>
      <c r="B1" s="20"/>
      <c r="C1" s="20"/>
      <c r="D1" s="20"/>
      <c r="E1" s="20"/>
      <c r="F1" s="20"/>
      <c r="G1" s="20"/>
    </row>
    <row r="2" customFormat="false" ht="15.75" hidden="false" customHeight="true" outlineLevel="0" collapsed="false">
      <c r="A2" s="21" t="s">
        <v>61</v>
      </c>
      <c r="B2" s="21"/>
      <c r="C2" s="21"/>
      <c r="D2" s="21"/>
      <c r="E2" s="21"/>
      <c r="F2" s="21"/>
      <c r="G2" s="21"/>
    </row>
    <row r="3" customFormat="false" ht="4.5" hidden="false" customHeight="true" outlineLevel="0" collapsed="false"/>
    <row r="4" customFormat="false" ht="31.5" hidden="false" customHeight="true" outlineLevel="0" collapsed="false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</row>
    <row r="5" customFormat="false" ht="18" hidden="false" customHeight="true" outlineLevel="0" collapsed="false">
      <c r="A5" s="22" t="s">
        <v>69</v>
      </c>
      <c r="B5" s="11" t="s">
        <v>69</v>
      </c>
      <c r="C5" s="23" t="s">
        <v>70</v>
      </c>
      <c r="D5" s="24" t="s">
        <v>71</v>
      </c>
      <c r="E5" s="24" t="s">
        <v>72</v>
      </c>
      <c r="F5" s="10" t="s">
        <v>16</v>
      </c>
      <c r="G5" s="11" t="s">
        <v>73</v>
      </c>
    </row>
    <row r="6" customFormat="false" ht="18" hidden="false" customHeight="true" outlineLevel="0" collapsed="false">
      <c r="A6" s="22" t="s">
        <v>74</v>
      </c>
      <c r="B6" s="16" t="s">
        <v>74</v>
      </c>
      <c r="C6" s="23" t="s">
        <v>70</v>
      </c>
      <c r="D6" s="25" t="s">
        <v>75</v>
      </c>
      <c r="E6" s="25" t="s">
        <v>76</v>
      </c>
      <c r="F6" s="10" t="s">
        <v>16</v>
      </c>
      <c r="G6" s="16" t="s">
        <v>73</v>
      </c>
    </row>
    <row r="7" customFormat="false" ht="18" hidden="false" customHeight="true" outlineLevel="0" collapsed="false">
      <c r="A7" s="22" t="s">
        <v>77</v>
      </c>
      <c r="B7" s="11" t="s">
        <v>77</v>
      </c>
      <c r="C7" s="23" t="s">
        <v>70</v>
      </c>
      <c r="D7" s="24" t="s">
        <v>78</v>
      </c>
      <c r="E7" s="24" t="s">
        <v>79</v>
      </c>
      <c r="F7" s="10" t="s">
        <v>16</v>
      </c>
      <c r="G7" s="11" t="s">
        <v>73</v>
      </c>
    </row>
    <row r="8" customFormat="false" ht="18" hidden="false" customHeight="true" outlineLevel="0" collapsed="false">
      <c r="A8" s="22" t="s">
        <v>80</v>
      </c>
      <c r="B8" s="16" t="s">
        <v>80</v>
      </c>
      <c r="C8" s="23" t="s">
        <v>70</v>
      </c>
      <c r="D8" s="25" t="s">
        <v>81</v>
      </c>
      <c r="E8" s="25" t="s">
        <v>82</v>
      </c>
      <c r="F8" s="10" t="s">
        <v>16</v>
      </c>
      <c r="G8" s="16" t="s">
        <v>73</v>
      </c>
    </row>
    <row r="9" customFormat="false" ht="18" hidden="false" customHeight="true" outlineLevel="0" collapsed="false">
      <c r="A9" s="22" t="s">
        <v>83</v>
      </c>
      <c r="B9" s="11" t="s">
        <v>83</v>
      </c>
      <c r="C9" s="26" t="s">
        <v>84</v>
      </c>
      <c r="D9" s="24" t="s">
        <v>81</v>
      </c>
      <c r="E9" s="24" t="s">
        <v>85</v>
      </c>
      <c r="F9" s="10" t="s">
        <v>16</v>
      </c>
      <c r="G9" s="11" t="s">
        <v>73</v>
      </c>
    </row>
    <row r="10" customFormat="false" ht="18" hidden="false" customHeight="true" outlineLevel="0" collapsed="false">
      <c r="A10" s="22" t="s">
        <v>86</v>
      </c>
      <c r="B10" s="16" t="s">
        <v>86</v>
      </c>
      <c r="C10" s="23" t="s">
        <v>70</v>
      </c>
      <c r="D10" s="25" t="s">
        <v>87</v>
      </c>
      <c r="E10" s="25" t="s">
        <v>88</v>
      </c>
      <c r="F10" s="10" t="s">
        <v>16</v>
      </c>
      <c r="G10" s="16" t="s">
        <v>73</v>
      </c>
    </row>
    <row r="11" customFormat="false" ht="18" hidden="false" customHeight="true" outlineLevel="0" collapsed="false">
      <c r="A11" s="22" t="s">
        <v>89</v>
      </c>
      <c r="B11" s="11" t="s">
        <v>89</v>
      </c>
      <c r="C11" s="23" t="s">
        <v>70</v>
      </c>
      <c r="D11" s="24" t="s">
        <v>90</v>
      </c>
      <c r="E11" s="24" t="s">
        <v>91</v>
      </c>
      <c r="F11" s="10" t="s">
        <v>16</v>
      </c>
      <c r="G11" s="11" t="s">
        <v>73</v>
      </c>
    </row>
    <row r="12" customFormat="false" ht="18" hidden="false" customHeight="true" outlineLevel="0" collapsed="false">
      <c r="A12" s="22" t="s">
        <v>92</v>
      </c>
      <c r="B12" s="16" t="s">
        <v>92</v>
      </c>
      <c r="C12" s="23" t="s">
        <v>70</v>
      </c>
      <c r="D12" s="25" t="s">
        <v>90</v>
      </c>
      <c r="E12" s="25" t="s">
        <v>93</v>
      </c>
      <c r="F12" s="10" t="s">
        <v>16</v>
      </c>
      <c r="G12" s="16" t="s">
        <v>94</v>
      </c>
    </row>
    <row r="13" customFormat="false" ht="18" hidden="false" customHeight="true" outlineLevel="0" collapsed="false">
      <c r="A13" s="22" t="s">
        <v>95</v>
      </c>
      <c r="B13" s="11" t="s">
        <v>95</v>
      </c>
      <c r="C13" s="23" t="s">
        <v>70</v>
      </c>
      <c r="D13" s="24" t="s">
        <v>96</v>
      </c>
      <c r="E13" s="24" t="s">
        <v>97</v>
      </c>
      <c r="F13" s="10" t="s">
        <v>16</v>
      </c>
      <c r="G13" s="11" t="s">
        <v>98</v>
      </c>
    </row>
    <row r="14" customFormat="false" ht="18" hidden="false" customHeight="true" outlineLevel="0" collapsed="false">
      <c r="A14" s="22" t="s">
        <v>99</v>
      </c>
      <c r="B14" s="16" t="s">
        <v>99</v>
      </c>
      <c r="C14" s="23" t="s">
        <v>70</v>
      </c>
      <c r="D14" s="25" t="s">
        <v>100</v>
      </c>
      <c r="E14" s="25" t="s">
        <v>101</v>
      </c>
      <c r="F14" s="10" t="s">
        <v>16</v>
      </c>
      <c r="G14" s="16" t="s">
        <v>73</v>
      </c>
    </row>
    <row r="15" customFormat="false" ht="18" hidden="false" customHeight="true" outlineLevel="0" collapsed="false">
      <c r="A15" s="22" t="s">
        <v>102</v>
      </c>
      <c r="B15" s="11" t="s">
        <v>102</v>
      </c>
      <c r="C15" s="23" t="s">
        <v>70</v>
      </c>
      <c r="D15" s="24" t="s">
        <v>78</v>
      </c>
      <c r="E15" s="24" t="s">
        <v>103</v>
      </c>
      <c r="F15" s="10" t="s">
        <v>16</v>
      </c>
      <c r="G15" s="11" t="s">
        <v>104</v>
      </c>
    </row>
    <row r="16" customFormat="false" ht="18" hidden="false" customHeight="true" outlineLevel="0" collapsed="false">
      <c r="A16" s="22" t="s">
        <v>105</v>
      </c>
      <c r="B16" s="16" t="s">
        <v>105</v>
      </c>
      <c r="C16" s="26" t="s">
        <v>84</v>
      </c>
      <c r="D16" s="25" t="s">
        <v>106</v>
      </c>
      <c r="E16" s="25" t="s">
        <v>107</v>
      </c>
      <c r="F16" s="10" t="s">
        <v>16</v>
      </c>
      <c r="G16" s="16" t="s">
        <v>108</v>
      </c>
    </row>
    <row r="17" customFormat="false" ht="18" hidden="false" customHeight="true" outlineLevel="0" collapsed="false">
      <c r="A17" s="22" t="s">
        <v>109</v>
      </c>
      <c r="B17" s="11" t="s">
        <v>109</v>
      </c>
      <c r="C17" s="23" t="s">
        <v>70</v>
      </c>
      <c r="D17" s="24" t="s">
        <v>100</v>
      </c>
      <c r="E17" s="24" t="s">
        <v>110</v>
      </c>
      <c r="F17" s="10" t="s">
        <v>16</v>
      </c>
      <c r="G17" s="11" t="s">
        <v>111</v>
      </c>
    </row>
    <row r="18" customFormat="false" ht="18" hidden="false" customHeight="true" outlineLevel="0" collapsed="false">
      <c r="A18" s="22" t="s">
        <v>112</v>
      </c>
      <c r="B18" s="16" t="s">
        <v>112</v>
      </c>
      <c r="C18" s="26" t="s">
        <v>84</v>
      </c>
      <c r="D18" s="25" t="s">
        <v>100</v>
      </c>
      <c r="E18" s="25" t="s">
        <v>113</v>
      </c>
      <c r="F18" s="10" t="s">
        <v>16</v>
      </c>
      <c r="G18" s="16" t="s">
        <v>73</v>
      </c>
    </row>
    <row r="19" customFormat="false" ht="18" hidden="false" customHeight="true" outlineLevel="0" collapsed="false">
      <c r="A19" s="22" t="s">
        <v>114</v>
      </c>
      <c r="B19" s="11" t="s">
        <v>114</v>
      </c>
      <c r="C19" s="23" t="s">
        <v>70</v>
      </c>
      <c r="D19" s="24" t="s">
        <v>71</v>
      </c>
      <c r="E19" s="24" t="s">
        <v>115</v>
      </c>
      <c r="F19" s="10" t="s">
        <v>16</v>
      </c>
      <c r="G19" s="11" t="s">
        <v>73</v>
      </c>
    </row>
    <row r="20" customFormat="false" ht="18" hidden="false" customHeight="true" outlineLevel="0" collapsed="false">
      <c r="A20" s="22" t="s">
        <v>116</v>
      </c>
      <c r="B20" s="16" t="s">
        <v>116</v>
      </c>
      <c r="C20" s="23" t="s">
        <v>70</v>
      </c>
      <c r="D20" s="25" t="s">
        <v>106</v>
      </c>
      <c r="E20" s="25" t="s">
        <v>117</v>
      </c>
      <c r="F20" s="10" t="s">
        <v>16</v>
      </c>
      <c r="G20" s="16" t="s">
        <v>118</v>
      </c>
    </row>
    <row r="21" customFormat="false" ht="18" hidden="false" customHeight="true" outlineLevel="0" collapsed="false">
      <c r="A21" s="22" t="s">
        <v>119</v>
      </c>
      <c r="B21" s="11" t="s">
        <v>119</v>
      </c>
      <c r="C21" s="26" t="s">
        <v>84</v>
      </c>
      <c r="D21" s="24" t="s">
        <v>120</v>
      </c>
      <c r="E21" s="24" t="s">
        <v>121</v>
      </c>
      <c r="F21" s="10" t="s">
        <v>16</v>
      </c>
      <c r="G21" s="11" t="s">
        <v>122</v>
      </c>
    </row>
    <row r="22" customFormat="false" ht="18" hidden="false" customHeight="true" outlineLevel="0" collapsed="false">
      <c r="A22" s="22" t="s">
        <v>123</v>
      </c>
      <c r="B22" s="16" t="s">
        <v>123</v>
      </c>
      <c r="C22" s="27" t="s">
        <v>124</v>
      </c>
      <c r="D22" s="25" t="s">
        <v>125</v>
      </c>
      <c r="E22" s="25" t="s">
        <v>73</v>
      </c>
      <c r="F22" s="28" t="s">
        <v>126</v>
      </c>
      <c r="G22" s="16" t="s">
        <v>127</v>
      </c>
    </row>
    <row r="23" customFormat="false" ht="18" hidden="false" customHeight="true" outlineLevel="0" collapsed="false">
      <c r="A23" s="22" t="s">
        <v>128</v>
      </c>
      <c r="B23" s="11" t="s">
        <v>128</v>
      </c>
      <c r="C23" s="23" t="s">
        <v>70</v>
      </c>
      <c r="D23" s="24" t="s">
        <v>125</v>
      </c>
      <c r="E23" s="24" t="s">
        <v>129</v>
      </c>
      <c r="F23" s="10" t="s">
        <v>16</v>
      </c>
      <c r="G23" s="11" t="s">
        <v>130</v>
      </c>
    </row>
    <row r="24" customFormat="false" ht="18" hidden="false" customHeight="true" outlineLevel="0" collapsed="false">
      <c r="A24" s="22" t="s">
        <v>131</v>
      </c>
      <c r="B24" s="16" t="s">
        <v>131</v>
      </c>
      <c r="C24" s="23" t="s">
        <v>70</v>
      </c>
      <c r="D24" s="25" t="s">
        <v>132</v>
      </c>
      <c r="E24" s="25" t="s">
        <v>133</v>
      </c>
      <c r="F24" s="10" t="s">
        <v>16</v>
      </c>
      <c r="G24" s="16" t="s">
        <v>73</v>
      </c>
    </row>
    <row r="25" customFormat="false" ht="18" hidden="false" customHeight="true" outlineLevel="0" collapsed="false">
      <c r="A25" s="22" t="s">
        <v>134</v>
      </c>
      <c r="B25" s="11" t="s">
        <v>134</v>
      </c>
      <c r="C25" s="23" t="s">
        <v>70</v>
      </c>
      <c r="D25" s="24" t="s">
        <v>135</v>
      </c>
      <c r="E25" s="24" t="s">
        <v>136</v>
      </c>
      <c r="F25" s="10" t="s">
        <v>16</v>
      </c>
      <c r="G25" s="11" t="s">
        <v>73</v>
      </c>
    </row>
    <row r="26" customFormat="false" ht="18" hidden="false" customHeight="true" outlineLevel="0" collapsed="false">
      <c r="A26" s="22" t="s">
        <v>137</v>
      </c>
      <c r="B26" s="16" t="s">
        <v>137</v>
      </c>
      <c r="C26" s="26" t="s">
        <v>84</v>
      </c>
      <c r="D26" s="25" t="s">
        <v>138</v>
      </c>
      <c r="E26" s="25" t="s">
        <v>139</v>
      </c>
      <c r="F26" s="10" t="s">
        <v>16</v>
      </c>
      <c r="G26" s="16" t="s">
        <v>140</v>
      </c>
    </row>
    <row r="27" customFormat="false" ht="18" hidden="false" customHeight="true" outlineLevel="0" collapsed="false">
      <c r="A27" s="22" t="s">
        <v>141</v>
      </c>
      <c r="B27" s="11" t="s">
        <v>141</v>
      </c>
      <c r="C27" s="23" t="s">
        <v>70</v>
      </c>
      <c r="D27" s="24" t="s">
        <v>142</v>
      </c>
      <c r="E27" s="24" t="s">
        <v>143</v>
      </c>
      <c r="F27" s="10" t="s">
        <v>16</v>
      </c>
      <c r="G27" s="11" t="s">
        <v>144</v>
      </c>
    </row>
    <row r="28" customFormat="false" ht="18" hidden="false" customHeight="true" outlineLevel="0" collapsed="false">
      <c r="A28" s="22" t="s">
        <v>145</v>
      </c>
      <c r="B28" s="16" t="s">
        <v>145</v>
      </c>
      <c r="C28" s="26" t="s">
        <v>84</v>
      </c>
      <c r="D28" s="25" t="s">
        <v>106</v>
      </c>
      <c r="E28" s="25" t="s">
        <v>146</v>
      </c>
      <c r="F28" s="10" t="s">
        <v>16</v>
      </c>
      <c r="G28" s="16" t="s">
        <v>147</v>
      </c>
    </row>
    <row r="29" customFormat="false" ht="18" hidden="false" customHeight="true" outlineLevel="0" collapsed="false">
      <c r="A29" s="22" t="s">
        <v>148</v>
      </c>
      <c r="B29" s="11" t="s">
        <v>148</v>
      </c>
      <c r="C29" s="27" t="s">
        <v>124</v>
      </c>
      <c r="D29" s="24" t="s">
        <v>78</v>
      </c>
      <c r="E29" s="24" t="s">
        <v>149</v>
      </c>
      <c r="F29" s="10" t="s">
        <v>16</v>
      </c>
      <c r="G29" s="11" t="s">
        <v>150</v>
      </c>
    </row>
    <row r="30" customFormat="false" ht="18" hidden="false" customHeight="true" outlineLevel="0" collapsed="false">
      <c r="A30" s="29" t="s">
        <v>151</v>
      </c>
      <c r="B30" s="16" t="s">
        <v>152</v>
      </c>
      <c r="C30" s="30" t="s">
        <v>153</v>
      </c>
      <c r="D30" s="25" t="s">
        <v>153</v>
      </c>
      <c r="E30" s="25" t="s">
        <v>154</v>
      </c>
      <c r="F30" s="10" t="s">
        <v>16</v>
      </c>
      <c r="G30" s="16" t="s">
        <v>155</v>
      </c>
    </row>
    <row r="31" customFormat="false" ht="19.5" hidden="false" customHeight="true" outlineLevel="0" collapsed="false">
      <c r="A31" s="18" t="s">
        <v>156</v>
      </c>
      <c r="B31" s="18"/>
      <c r="C31" s="18"/>
      <c r="D31" s="18"/>
      <c r="E31" s="18"/>
      <c r="F31" s="10" t="s">
        <v>157</v>
      </c>
      <c r="G31" s="31" t="s">
        <v>158</v>
      </c>
    </row>
  </sheetData>
  <mergeCells count="3">
    <mergeCell ref="A1:G1"/>
    <mergeCell ref="A2:G2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24" hidden="false" customHeight="true" outlineLevel="0" collapsed="false">
      <c r="A1" s="20" t="s">
        <v>159</v>
      </c>
      <c r="B1" s="20"/>
      <c r="C1" s="20"/>
      <c r="D1" s="20"/>
      <c r="E1" s="20"/>
      <c r="F1" s="20"/>
      <c r="G1" s="20"/>
    </row>
    <row r="2" customFormat="false" ht="15.75" hidden="false" customHeight="true" outlineLevel="0" collapsed="false">
      <c r="A2" s="32" t="s">
        <v>160</v>
      </c>
      <c r="B2" s="32"/>
      <c r="C2" s="32"/>
      <c r="D2" s="32"/>
      <c r="E2" s="32"/>
      <c r="F2" s="32"/>
      <c r="G2" s="32"/>
    </row>
    <row r="3" customFormat="false" ht="4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161</v>
      </c>
      <c r="C4" s="3" t="s">
        <v>162</v>
      </c>
      <c r="D4" s="3" t="s">
        <v>163</v>
      </c>
      <c r="E4" s="3" t="s">
        <v>164</v>
      </c>
      <c r="F4" s="3" t="s">
        <v>165</v>
      </c>
      <c r="G4" s="3" t="s">
        <v>8</v>
      </c>
    </row>
    <row r="5" customFormat="false" ht="21.75" hidden="false" customHeight="true" outlineLevel="0" collapsed="false">
      <c r="A5" s="33" t="s">
        <v>166</v>
      </c>
      <c r="B5" s="11" t="s">
        <v>167</v>
      </c>
      <c r="C5" s="24" t="s">
        <v>168</v>
      </c>
      <c r="D5" s="24" t="s">
        <v>169</v>
      </c>
      <c r="E5" s="6" t="s">
        <v>12</v>
      </c>
      <c r="F5" s="24" t="s">
        <v>14</v>
      </c>
      <c r="G5" s="10" t="s">
        <v>16</v>
      </c>
    </row>
    <row r="6" customFormat="false" ht="21.75" hidden="false" customHeight="true" outlineLevel="0" collapsed="false">
      <c r="A6" s="7" t="s">
        <v>170</v>
      </c>
      <c r="B6" s="16" t="s">
        <v>167</v>
      </c>
      <c r="C6" s="25" t="s">
        <v>171</v>
      </c>
      <c r="D6" s="25" t="s">
        <v>169</v>
      </c>
      <c r="E6" s="7" t="s">
        <v>13</v>
      </c>
      <c r="F6" s="25" t="s">
        <v>14</v>
      </c>
      <c r="G6" s="10" t="s">
        <v>172</v>
      </c>
    </row>
    <row r="7" customFormat="false" ht="21.75" hidden="false" customHeight="true" outlineLevel="0" collapsed="false">
      <c r="A7" s="7" t="s">
        <v>18</v>
      </c>
      <c r="B7" s="11" t="s">
        <v>173</v>
      </c>
      <c r="C7" s="24" t="s">
        <v>174</v>
      </c>
      <c r="D7" s="24" t="s">
        <v>174</v>
      </c>
      <c r="E7" s="7" t="s">
        <v>20</v>
      </c>
      <c r="F7" s="34" t="n">
        <f aca="false">100 %</f>
        <v>1</v>
      </c>
      <c r="G7" s="10" t="s">
        <v>172</v>
      </c>
    </row>
    <row r="8" customFormat="false" ht="21.75" hidden="false" customHeight="true" outlineLevel="0" collapsed="false">
      <c r="A8" s="7" t="s">
        <v>23</v>
      </c>
      <c r="B8" s="16" t="s">
        <v>175</v>
      </c>
      <c r="C8" s="25" t="s">
        <v>176</v>
      </c>
      <c r="D8" s="25" t="s">
        <v>176</v>
      </c>
      <c r="E8" s="7" t="s">
        <v>20</v>
      </c>
      <c r="F8" s="35" t="n">
        <f aca="false">100 %</f>
        <v>1</v>
      </c>
      <c r="G8" s="10" t="s">
        <v>172</v>
      </c>
    </row>
    <row r="9" customFormat="false" ht="21.75" hidden="false" customHeight="true" outlineLevel="0" collapsed="false">
      <c r="A9" s="33" t="s">
        <v>177</v>
      </c>
      <c r="B9" s="11" t="s">
        <v>178</v>
      </c>
      <c r="C9" s="24" t="s">
        <v>179</v>
      </c>
      <c r="D9" s="24" t="s">
        <v>180</v>
      </c>
      <c r="E9" s="6" t="s">
        <v>28</v>
      </c>
      <c r="F9" s="24" t="s">
        <v>181</v>
      </c>
      <c r="G9" s="10" t="s">
        <v>16</v>
      </c>
    </row>
    <row r="10" customFormat="false" ht="21.75" hidden="false" customHeight="true" outlineLevel="0" collapsed="false">
      <c r="A10" s="7" t="s">
        <v>182</v>
      </c>
      <c r="B10" s="16" t="s">
        <v>178</v>
      </c>
      <c r="C10" s="25" t="s">
        <v>183</v>
      </c>
      <c r="D10" s="25" t="s">
        <v>180</v>
      </c>
      <c r="E10" s="7" t="s">
        <v>29</v>
      </c>
      <c r="F10" s="25" t="s">
        <v>181</v>
      </c>
      <c r="G10" s="10" t="s">
        <v>172</v>
      </c>
    </row>
    <row r="11" customFormat="false" ht="21.75" hidden="false" customHeight="true" outlineLevel="0" collapsed="false">
      <c r="A11" s="33" t="s">
        <v>184</v>
      </c>
      <c r="B11" s="11" t="s">
        <v>185</v>
      </c>
      <c r="C11" s="24" t="s">
        <v>186</v>
      </c>
      <c r="D11" s="24" t="s">
        <v>169</v>
      </c>
      <c r="E11" s="6" t="s">
        <v>35</v>
      </c>
      <c r="F11" s="24" t="s">
        <v>42</v>
      </c>
      <c r="G11" s="10" t="s">
        <v>16</v>
      </c>
    </row>
    <row r="12" customFormat="false" ht="21.75" hidden="false" customHeight="true" outlineLevel="0" collapsed="false">
      <c r="A12" s="7" t="s">
        <v>187</v>
      </c>
      <c r="B12" s="16" t="s">
        <v>185</v>
      </c>
      <c r="C12" s="25" t="s">
        <v>171</v>
      </c>
      <c r="D12" s="25" t="s">
        <v>169</v>
      </c>
      <c r="E12" s="7" t="s">
        <v>13</v>
      </c>
      <c r="F12" s="25" t="s">
        <v>42</v>
      </c>
      <c r="G12" s="10" t="s">
        <v>172</v>
      </c>
    </row>
    <row r="13" customFormat="false" ht="21.75" hidden="false" customHeight="true" outlineLevel="0" collapsed="false">
      <c r="A13" s="33" t="s">
        <v>188</v>
      </c>
      <c r="B13" s="11" t="s">
        <v>189</v>
      </c>
      <c r="C13" s="24" t="s">
        <v>190</v>
      </c>
      <c r="D13" s="24" t="s">
        <v>191</v>
      </c>
      <c r="E13" s="6" t="s">
        <v>40</v>
      </c>
      <c r="F13" s="24" t="s">
        <v>42</v>
      </c>
      <c r="G13" s="10" t="s">
        <v>16</v>
      </c>
    </row>
    <row r="14" customFormat="false" ht="21.75" hidden="false" customHeight="true" outlineLevel="0" collapsed="false">
      <c r="A14" s="7" t="s">
        <v>192</v>
      </c>
      <c r="B14" s="16" t="s">
        <v>189</v>
      </c>
      <c r="C14" s="25" t="s">
        <v>193</v>
      </c>
      <c r="D14" s="25" t="s">
        <v>191</v>
      </c>
      <c r="E14" s="7" t="s">
        <v>41</v>
      </c>
      <c r="F14" s="25" t="s">
        <v>42</v>
      </c>
      <c r="G14" s="10" t="s">
        <v>172</v>
      </c>
    </row>
    <row r="15" customFormat="false" ht="21.75" hidden="false" customHeight="true" outlineLevel="0" collapsed="false">
      <c r="A15" s="7" t="s">
        <v>44</v>
      </c>
      <c r="B15" s="11" t="s">
        <v>194</v>
      </c>
      <c r="C15" s="24" t="s">
        <v>195</v>
      </c>
      <c r="D15" s="24" t="s">
        <v>195</v>
      </c>
      <c r="E15" s="7" t="s">
        <v>20</v>
      </c>
      <c r="F15" s="34" t="n">
        <f aca="false">100 %</f>
        <v>1</v>
      </c>
      <c r="G15" s="10" t="s">
        <v>172</v>
      </c>
    </row>
    <row r="16" customFormat="false" ht="21.75" hidden="false" customHeight="true" outlineLevel="0" collapsed="false">
      <c r="A16" s="7" t="s">
        <v>47</v>
      </c>
      <c r="B16" s="16" t="s">
        <v>196</v>
      </c>
      <c r="C16" s="25" t="s">
        <v>197</v>
      </c>
      <c r="D16" s="25" t="s">
        <v>198</v>
      </c>
      <c r="E16" s="7" t="s">
        <v>49</v>
      </c>
      <c r="F16" s="25" t="s">
        <v>199</v>
      </c>
      <c r="G16" s="10" t="s">
        <v>172</v>
      </c>
    </row>
    <row r="17" customFormat="false" ht="21.75" hidden="false" customHeight="true" outlineLevel="0" collapsed="false">
      <c r="A17" s="17" t="s">
        <v>200</v>
      </c>
      <c r="B17" s="11" t="s">
        <v>201</v>
      </c>
      <c r="C17" s="24" t="s">
        <v>202</v>
      </c>
      <c r="D17" s="24" t="s">
        <v>169</v>
      </c>
      <c r="E17" s="17" t="s">
        <v>54</v>
      </c>
      <c r="F17" s="24" t="s">
        <v>203</v>
      </c>
      <c r="G17" s="28" t="s">
        <v>204</v>
      </c>
    </row>
    <row r="18" customFormat="false" ht="21.75" hidden="false" customHeight="true" outlineLevel="0" collapsed="false">
      <c r="A18" s="7" t="s">
        <v>205</v>
      </c>
      <c r="B18" s="16" t="s">
        <v>201</v>
      </c>
      <c r="C18" s="25" t="s">
        <v>206</v>
      </c>
      <c r="D18" s="25" t="s">
        <v>169</v>
      </c>
      <c r="E18" s="7" t="s">
        <v>55</v>
      </c>
      <c r="F18" s="25" t="s">
        <v>203</v>
      </c>
      <c r="G18" s="10" t="s">
        <v>172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24" hidden="false" customHeight="true" outlineLevel="0" collapsed="false">
      <c r="A1" s="20" t="s">
        <v>207</v>
      </c>
      <c r="B1" s="20"/>
      <c r="C1" s="20"/>
      <c r="D1" s="20"/>
    </row>
    <row r="2" customFormat="false" ht="15.75" hidden="false" customHeight="true" outlineLevel="0" collapsed="false">
      <c r="A2" s="36" t="s">
        <v>208</v>
      </c>
      <c r="B2" s="36"/>
      <c r="C2" s="36"/>
      <c r="D2" s="36"/>
    </row>
    <row r="3" customFormat="false" ht="4.5" hidden="false" customHeight="true" outlineLevel="0" collapsed="false"/>
    <row r="4" customFormat="false" ht="24" hidden="false" customHeight="true" outlineLevel="0" collapsed="false">
      <c r="A4" s="3" t="s">
        <v>209</v>
      </c>
      <c r="B4" s="3" t="s">
        <v>210</v>
      </c>
      <c r="C4" s="3" t="s">
        <v>211</v>
      </c>
      <c r="D4" s="3" t="s">
        <v>212</v>
      </c>
    </row>
    <row r="5" customFormat="false" ht="21.75" hidden="false" customHeight="true" outlineLevel="0" collapsed="false">
      <c r="A5" s="4" t="s">
        <v>77</v>
      </c>
      <c r="B5" s="11" t="s">
        <v>213</v>
      </c>
      <c r="C5" s="11" t="s">
        <v>214</v>
      </c>
      <c r="D5" s="37" t="s">
        <v>215</v>
      </c>
    </row>
    <row r="6" customFormat="false" ht="21.75" hidden="false" customHeight="true" outlineLevel="0" collapsed="false">
      <c r="A6" s="4" t="s">
        <v>89</v>
      </c>
      <c r="B6" s="16" t="s">
        <v>216</v>
      </c>
      <c r="C6" s="16" t="s">
        <v>217</v>
      </c>
      <c r="D6" s="38" t="s">
        <v>218</v>
      </c>
    </row>
    <row r="7" customFormat="false" ht="21.75" hidden="false" customHeight="true" outlineLevel="0" collapsed="false">
      <c r="A7" s="4" t="s">
        <v>99</v>
      </c>
      <c r="B7" s="11" t="s">
        <v>219</v>
      </c>
      <c r="C7" s="11" t="s">
        <v>220</v>
      </c>
      <c r="D7" s="37" t="s">
        <v>221</v>
      </c>
    </row>
    <row r="8" customFormat="false" ht="21.75" hidden="false" customHeight="true" outlineLevel="0" collapsed="false">
      <c r="A8" s="4" t="s">
        <v>80</v>
      </c>
      <c r="B8" s="16" t="s">
        <v>222</v>
      </c>
      <c r="C8" s="16" t="s">
        <v>223</v>
      </c>
      <c r="D8" s="37" t="s">
        <v>224</v>
      </c>
    </row>
    <row r="9" customFormat="false" ht="21.75" hidden="false" customHeight="true" outlineLevel="0" collapsed="false">
      <c r="A9" s="4" t="s">
        <v>102</v>
      </c>
      <c r="B9" s="11" t="s">
        <v>225</v>
      </c>
      <c r="C9" s="11" t="s">
        <v>226</v>
      </c>
      <c r="D9" s="37" t="s">
        <v>224</v>
      </c>
    </row>
    <row r="10" customFormat="false" ht="21.75" hidden="false" customHeight="true" outlineLevel="0" collapsed="false">
      <c r="A10" s="4" t="s">
        <v>114</v>
      </c>
      <c r="B10" s="16" t="s">
        <v>227</v>
      </c>
      <c r="C10" s="16" t="s">
        <v>69</v>
      </c>
      <c r="D10" s="37" t="s">
        <v>228</v>
      </c>
    </row>
    <row r="11" customFormat="false" ht="21.75" hidden="false" customHeight="true" outlineLevel="0" collapsed="false">
      <c r="A11" s="4" t="s">
        <v>131</v>
      </c>
      <c r="B11" s="11" t="s">
        <v>229</v>
      </c>
      <c r="C11" s="11" t="s">
        <v>95</v>
      </c>
      <c r="D11" s="37" t="s">
        <v>228</v>
      </c>
    </row>
    <row r="12" customFormat="false" ht="21.75" hidden="false" customHeight="true" outlineLevel="0" collapsed="false">
      <c r="A12" s="18" t="s">
        <v>230</v>
      </c>
      <c r="B12" s="18"/>
      <c r="C12" s="39" t="s">
        <v>231</v>
      </c>
      <c r="D12" s="39"/>
    </row>
  </sheetData>
  <mergeCells count="4">
    <mergeCell ref="A1:D1"/>
    <mergeCell ref="A2:D2"/>
    <mergeCell ref="A12:B12"/>
    <mergeCell ref="C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2026-08-19T06:58:34Z</dcterms:created>
  <dc:creator>openpyxl</dc:creator>
  <dc:description/>
  <dc:language>en-US</dc:language>
  <cp:lastModifiedBy/>
  <dcterms:modified xsi:type="dcterms:W3CDTF">2026-08-19T06:58:34Z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